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OLOP~1\AppData\Local\Temp\claude\C--Mendix-x-spreadsheet-demo-main\7f155023-7849-4e90-a552-c1444bd68f63\scratchpad\demo-files\"/>
    </mc:Choice>
  </mc:AlternateContent>
  <xr:revisionPtr revIDLastSave="0" documentId="8_{C199C0A4-30BE-4300-BE0F-6ABAD9AD0FD5}" xr6:coauthVersionLast="47" xr6:coauthVersionMax="47" xr10:uidLastSave="{00000000-0000-0000-0000-000000000000}"/>
  <bookViews>
    <workbookView xWindow="-108" yWindow="-108" windowWidth="23256" windowHeight="12456" xr2:uid="{2652A0EF-20DA-4533-BAC9-F38F444D588C}"/>
  </bookViews>
  <sheets>
    <sheet name="Summary" sheetId="1" r:id="rId1"/>
    <sheet name="Monthly trend" sheetId="2" r:id="rId2"/>
    <sheet name="Targe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" i="1" l="1"/>
  <c r="F10" i="1"/>
  <c r="E10" i="1"/>
  <c r="D10" i="1"/>
  <c r="C10" i="1"/>
  <c r="B10" i="1"/>
  <c r="G9" i="1"/>
  <c r="F9" i="1"/>
  <c r="G8" i="1"/>
  <c r="F8" i="1"/>
  <c r="G7" i="1"/>
  <c r="F7" i="1"/>
  <c r="G6" i="1"/>
  <c r="F6" i="1"/>
  <c r="G5" i="1"/>
  <c r="F5" i="1"/>
</calcChain>
</file>

<file path=xl/sharedStrings.xml><?xml version="1.0" encoding="utf-8"?>
<sst xmlns="http://schemas.openxmlformats.org/spreadsheetml/2006/main" count="40" uniqueCount="39">
  <si>
    <t>Quarterly sales report 2026</t>
  </si>
  <si>
    <t>All amounts in EUR. Totals and shares are formulas.</t>
  </si>
  <si>
    <t>Region</t>
  </si>
  <si>
    <t>Q1</t>
  </si>
  <si>
    <t>Q2</t>
  </si>
  <si>
    <t>Q3</t>
  </si>
  <si>
    <t>Q4</t>
  </si>
  <si>
    <t>Total</t>
  </si>
  <si>
    <t>Share</t>
  </si>
  <si>
    <t>North</t>
  </si>
  <si>
    <t>South</t>
  </si>
  <si>
    <t>East</t>
  </si>
  <si>
    <t>West</t>
  </si>
  <si>
    <t>Online</t>
  </si>
  <si>
    <t>Month</t>
  </si>
  <si>
    <t>Hardware</t>
  </si>
  <si>
    <t>Software</t>
  </si>
  <si>
    <t>Services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</si>
  <si>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</si>
  <si>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</si>
  <si>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</si>
  <si>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</si>
  <si>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</si>
  <si>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</si>
  <si>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</si>
  <si>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</si>
  <si>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</si>
  <si>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</si>
  <si>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</si>
  <si>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</si>
  <si>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Ad spend (k)</t>
  </si>
  <si>
    <t>Leads</t>
  </si>
  <si>
    <t>Team</t>
  </si>
  <si>
    <t>Achieved</t>
  </si>
  <si>
    <t>Remaining</t>
  </si>
  <si>
    <t>Alpha</t>
  </si>
  <si>
    <t>Bravo</t>
  </si>
  <si>
    <t>Charlie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</si>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</sst>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\ #,##0"/>
    <numFmt numFmtId="165" formatCode="0.0%"/>
    <numFmt numFmtId="166" formatCode="#,##0\ &quot;k&quot;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4472C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rgb="FFBFBFBF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/>
      <bottom style="medium">
        <color indexed="64"/>
      </bottom>
      <diagonal/>
    </border>
    <border>
      <left style="thin">
        <color rgb="FFBFBFBF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BFBFBF"/>
      </right>
      <top style="double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double">
        <color indexed="64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4" xfId="0" applyBorder="1"/>
    <xf numFmtId="164" fontId="0" fillId="0" borderId="5" xfId="0" applyNumberFormat="1" applyBorder="1"/>
    <xf numFmtId="165" fontId="0" fillId="0" borderId="6" xfId="0" applyNumberFormat="1" applyBorder="1"/>
    <xf numFmtId="0" fontId="2" fillId="0" borderId="7" xfId="0" applyFont="1" applyBorder="1"/>
    <xf numFmtId="164" fontId="2" fillId="0" borderId="8" xfId="0" applyNumberFormat="1" applyFont="1" applyBorder="1"/>
    <xf numFmtId="165" fontId="2" fillId="0" borderId="9" xfId="0" applyNumberFormat="1" applyFont="1" applyBorder="1"/>
    <xf numFmtId="0" fontId="0" fillId="4" borderId="4" xfId="0" applyFill="1" applyBorder="1"/>
    <xf numFmtId="164" fontId="0" fillId="4" borderId="5" xfId="0" applyNumberFormat="1" applyFill="1" applyBorder="1"/>
    <xf numFmtId="165" fontId="0" fillId="4" borderId="6" xfId="0" applyNumberFormat="1" applyFill="1" applyBorder="1"/>
    <xf numFmtId="164" fontId="1" fillId="5" borderId="5" xfId="0" applyNumberFormat="1" applyFont="1" applyFill="1" applyBorder="1"/>
    <xf numFmtId="0" fontId="5" fillId="6" borderId="10" xfId="0" applyFont="1" applyFill="1" applyBorder="1"/>
    <xf numFmtId="0" fontId="0" fillId="0" borderId="10" xfId="0" applyBorder="1"/>
    <xf numFmtId="166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PT"/>
              <a:t>Sales per region by quarter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Summary!$B$4</c:f>
              <c:strCache>
                <c:ptCount val="1"/>
                <c:pt idx="0">
                  <c:v>Q1</c:v>
                </c:pt>
              </c:strCache>
            </c:strRef>
          </c:tx>
          <c:invertIfNegative val="0"/>
          <c:cat>
            <c:strRef>
              <c:f>Summary!$A$5:$A$9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Online</c:v>
                </c:pt>
              </c:strCache>
            </c:strRef>
          </c:cat>
          <c:val>
            <c:numRef>
              <c:f>Summary!$B$5:$B$9</c:f>
              <c:numCache>
                <c:formatCode>\€\ #\ ##0</c:formatCode>
                <c:ptCount val="5"/>
                <c:pt idx="0">
                  <c:v>12500</c:v>
                </c:pt>
                <c:pt idx="1">
                  <c:v>9800</c:v>
                </c:pt>
                <c:pt idx="2">
                  <c:v>15300</c:v>
                </c:pt>
                <c:pt idx="3">
                  <c:v>7400</c:v>
                </c:pt>
                <c:pt idx="4">
                  <c:v>11200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94-4F28-8E4D-4086FE66A321}"/>
            </c:ext>
          </c:extLst>
        </c:ser>
        <c:ser>
          <c:idx val="1"/>
          <c:order val="1"/>
          <c:tx>
            <c:strRef>
              <c:f>Summary!$C$4</c:f>
              <c:strCache>
                <c:ptCount val="1"/>
                <c:pt idx="0">
                  <c:v>Q2</c:v>
                </c:pt>
              </c:strCache>
            </c:strRef>
          </c:tx>
          <c:invertIfNegative val="0"/>
          <c:cat>
            <c:strRef>
              <c:f>Summary!$A$5:$A$9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Online</c:v>
                </c:pt>
              </c:strCache>
            </c:strRef>
          </c:cat>
          <c:val>
            <c:numRef>
              <c:f>Summary!$C$5:$C$9</c:f>
              <c:numCache>
                <c:formatCode>\€\ #\ ##0</c:formatCode>
                <c:ptCount val="5"/>
                <c:pt idx="0">
                  <c:v>14200</c:v>
                </c:pt>
                <c:pt idx="1">
                  <c:v>10400</c:v>
                </c:pt>
                <c:pt idx="2">
                  <c:v>14800</c:v>
                </c:pt>
                <c:pt idx="3">
                  <c:v>8900</c:v>
                </c:pt>
                <c:pt idx="4">
                  <c:v>13600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94-4F28-8E4D-4086FE66A321}"/>
            </c:ext>
          </c:extLst>
        </c:ser>
        <c:ser>
          <c:idx val="2"/>
          <c:order val="2"/>
          <c:tx>
            <c:strRef>
              <c:f>Summary!$D$4</c:f>
              <c:strCache>
                <c:ptCount val="1"/>
                <c:pt idx="0">
                  <c:v>Q3</c:v>
                </c:pt>
              </c:strCache>
            </c:strRef>
          </c:tx>
          <c:invertIfNegative val="0"/>
          <c:cat>
            <c:strRef>
              <c:f>Summary!$A$5:$A$9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Online</c:v>
                </c:pt>
              </c:strCache>
            </c:strRef>
          </c:cat>
          <c:val>
            <c:numRef>
              <c:f>Summary!$D$5:$D$9</c:f>
              <c:numCache>
                <c:formatCode>\€\ #\ ##0</c:formatCode>
                <c:ptCount val="5"/>
                <c:pt idx="0">
                  <c:v>13900</c:v>
                </c:pt>
                <c:pt idx="1">
                  <c:v>12100</c:v>
                </c:pt>
                <c:pt idx="2">
                  <c:v>16250</c:v>
                </c:pt>
                <c:pt idx="3">
                  <c:v>9300</c:v>
                </c:pt>
                <c:pt idx="4">
                  <c:v>15800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94-4F28-8E4D-4086FE66A321}"/>
            </c:ext>
          </c:extLst>
        </c:ser>
        <c:ser>
          <c:idx val="3"/>
          <c:order val="3"/>
          <c:tx>
            <c:strRef>
              <c:f>Summary!$E$4</c:f>
              <c:strCache>
                <c:ptCount val="1"/>
                <c:pt idx="0">
                  <c:v>Q4</c:v>
                </c:pt>
              </c:strCache>
            </c:strRef>
          </c:tx>
          <c:invertIfNegative val="0"/>
          <c:cat>
            <c:strRef>
              <c:f>Summary!$A$5:$A$9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Online</c:v>
                </c:pt>
              </c:strCache>
            </c:strRef>
          </c:cat>
          <c:val>
            <c:numRef>
              <c:f>Summary!$E$5:$E$9</c:f>
              <c:numCache>
                <c:formatCode>\€\ #\ ##0</c:formatCode>
                <c:ptCount val="5"/>
                <c:pt idx="0">
                  <c:v>16800</c:v>
                </c:pt>
                <c:pt idx="1">
                  <c:v>11950</c:v>
                </c:pt>
                <c:pt idx="2">
                  <c:v>18900</c:v>
                </c:pt>
                <c:pt idx="3">
                  <c:v>10750</c:v>
                </c:pt>
                <c:pt idx="4">
                  <c:v>19400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94-4F28-8E4D-4086FE66A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487935"/>
        <c:axId val="22521455"/>
      </c:barChart>
      <c:catAx>
        <c:axId val="118487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521455"/>
        <c:crosses val="autoZero"/>
        <c:auto val="1"/>
        <c:lblAlgn val="ctr"/>
        <c:lblOffset val="100"/>
        <c:noMultiLvlLbl val="0"/>
      </c:catAx>
      <c:valAx>
        <c:axId val="22521455"/>
        <c:scaling>
          <c:orientation val="minMax"/>
        </c:scaling>
        <c:delete val="0"/>
        <c:axPos val="l"/>
        <c:majorGridlines/>
        <c:numFmt formatCode="\€\ #\ ##0" sourceLinked="1"/>
        <c:majorTickMark val="out"/>
        <c:minorTickMark val="none"/>
        <c:tickLblPos val="nextTo"/>
        <c:crossAx val="11848793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PT"/>
              <a:t>Share of yearly sales</a:t>
            </a:r>
          </a:p>
        </c:rich>
      </c:tx>
      <c:overlay val="0"/>
    </c:title>
    <c:autoTitleDeleted val="0"/>
    <c:plotArea>
      <c:layout/>
      <c:pieChart>
        <c:varyColors val="1"/>
        <c:ser>
          <c:idx val="1"/>
          <c:order val="0"/>
          <c:tx>
            <c:v>Total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Summary!$A$5:$A$9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Online</c:v>
                </c:pt>
              </c:strCache>
            </c:strRef>
          </c:cat>
          <c:val>
            <c:numRef>
              <c:f>Summary!$F$5:$F$9</c:f>
              <c:numCache>
                <c:formatCode>\€\ #\ ##0</c:formatCode>
                <c:ptCount val="5"/>
                <c:pt idx="0">
                  <c:v>57400</c:v>
                </c:pt>
                <c:pt idx="1">
                  <c:v>44250</c:v>
                </c:pt>
                <c:pt idx="2">
                  <c:v>65250</c:v>
                </c:pt>
                <c:pt idx="3">
                  <c:v>36350</c:v>
                </c:pt>
                <c:pt idx="4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EB-4FF3-BA1C-923EE551E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PT"/>
              <a:t>Revenue per month (k EUR)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trend'!$B$1</c:f>
              <c:strCache>
                <c:ptCount val="1"/>
                <c:pt idx="0">
                  <c:v>Hardware</c:v>
                </c:pt>
              </c:strCache>
            </c:strRef>
          </c:tx>
          <c:cat>
            <c:strRef>
              <c:f>'Monthly trend'!$A$2:$A$13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trend'!$B$2:$B$13</c:f>
              <c:numCache>
                <c:formatCode>#\ ##0\ "k"</c:formatCode>
                <c:ptCount val="12"/>
                <c:pt idx="0">
                  <c:v>42</c:v>
                </c:pt>
                <c:pt idx="1">
                  <c:v>45</c:v>
                </c:pt>
                <c:pt idx="2">
                  <c:v>47</c:v>
                </c:pt>
                <c:pt idx="3">
                  <c:v>44</c:v>
                </c:pt>
                <c:pt idx="4">
                  <c:v>50</c:v>
                </c:pt>
                <c:pt idx="5">
                  <c:v>53</c:v>
                </c:pt>
                <c:pt idx="6">
                  <c:v>49</c:v>
                </c:pt>
                <c:pt idx="7">
                  <c:v>46</c:v>
                </c:pt>
                <c:pt idx="8">
                  <c:v>55</c:v>
                </c:pt>
                <c:pt idx="9">
                  <c:v>58</c:v>
                </c:pt>
                <c:pt idx="10">
                  <c:v>62</c:v>
                </c:pt>
                <c:pt idx="1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6D-46B4-BB89-F0842FEB9435}"/>
            </c:ext>
          </c:extLst>
        </c:ser>
        <c:ser>
          <c:idx val="1"/>
          <c:order val="1"/>
          <c:tx>
            <c:strRef>
              <c:f>'Monthly trend'!$C$1</c:f>
              <c:strCache>
                <c:ptCount val="1"/>
                <c:pt idx="0">
                  <c:v>Software</c:v>
                </c:pt>
              </c:strCache>
            </c:strRef>
          </c:tx>
          <c:cat>
            <c:strRef>
              <c:f>'Monthly trend'!$A$2:$A$13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trend'!$C$2:$C$13</c:f>
              <c:numCache>
                <c:formatCode>#\ ##0\ "k"</c:formatCode>
                <c:ptCount val="12"/>
                <c:pt idx="0">
                  <c:v>30</c:v>
                </c:pt>
                <c:pt idx="1">
                  <c:v>32</c:v>
                </c:pt>
                <c:pt idx="2">
                  <c:v>35</c:v>
                </c:pt>
                <c:pt idx="3">
                  <c:v>39</c:v>
                </c:pt>
                <c:pt idx="4">
                  <c:v>41</c:v>
                </c:pt>
                <c:pt idx="5">
                  <c:v>44</c:v>
                </c:pt>
                <c:pt idx="6">
                  <c:v>46</c:v>
                </c:pt>
                <c:pt idx="7">
                  <c:v>49</c:v>
                </c:pt>
                <c:pt idx="8">
                  <c:v>52</c:v>
                </c:pt>
                <c:pt idx="9">
                  <c:v>55</c:v>
                </c:pt>
                <c:pt idx="10">
                  <c:v>59</c:v>
                </c:pt>
                <c:pt idx="11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6D-46B4-BB89-F0842FEB9435}"/>
            </c:ext>
          </c:extLst>
        </c:ser>
        <c:ser>
          <c:idx val="2"/>
          <c:order val="2"/>
          <c:tx>
            <c:strRef>
              <c:f>'Monthly trend'!$D$1</c:f>
              <c:strCache>
                <c:ptCount val="1"/>
                <c:pt idx="0">
                  <c:v>Services</c:v>
                </c:pt>
              </c:strCache>
            </c:strRef>
          </c:tx>
          <c:cat>
            <c:strRef>
              <c:f>'Monthly trend'!$A$2:$A$13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trend'!$D$2:$D$13</c:f>
              <c:numCache>
                <c:formatCode>#\ ##0\ "k"</c:formatCode>
                <c:ptCount val="12"/>
                <c:pt idx="0">
                  <c:v>18</c:v>
                </c:pt>
                <c:pt idx="1">
                  <c:v>18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22</c:v>
                </c:pt>
                <c:pt idx="6">
                  <c:v>23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6D-46B4-BB89-F0842FEB9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547247"/>
        <c:axId val="22560815"/>
      </c:lineChart>
      <c:catAx>
        <c:axId val="335472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560815"/>
        <c:crosses val="autoZero"/>
        <c:auto val="1"/>
        <c:lblAlgn val="ctr"/>
        <c:lblOffset val="100"/>
        <c:noMultiLvlLbl val="0"/>
      </c:catAx>
      <c:valAx>
        <c:axId val="22560815"/>
        <c:scaling>
          <c:orientation val="minMax"/>
        </c:scaling>
        <c:delete val="0"/>
        <c:axPos val="l"/>
        <c:majorGridlines/>
        <c:numFmt formatCode="#\ ##0\ &quot;k&quot;" sourceLinked="1"/>
        <c:majorTickMark val="out"/>
        <c:minorTickMark val="none"/>
        <c:tickLblPos val="nextTo"/>
        <c:crossAx val="3354724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PT"/>
              <a:t>Revenue mix (stacked)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trend'!$B$1</c:f>
              <c:strCache>
                <c:ptCount val="1"/>
                <c:pt idx="0">
                  <c:v>Hardware</c:v>
                </c:pt>
              </c:strCache>
            </c:strRef>
          </c:tx>
          <c:invertIfNegative val="0"/>
          <c:cat>
            <c:strRef>
              <c:f>'Monthly trend'!$A$2:$A$13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trend'!$B$2:$B$13</c:f>
              <c:numCache>
                <c:formatCode>#\ ##0\ "k"</c:formatCode>
                <c:ptCount val="12"/>
                <c:pt idx="0">
                  <c:v>42</c:v>
                </c:pt>
                <c:pt idx="1">
                  <c:v>45</c:v>
                </c:pt>
                <c:pt idx="2">
                  <c:v>47</c:v>
                </c:pt>
                <c:pt idx="3">
                  <c:v>44</c:v>
                </c:pt>
                <c:pt idx="4">
                  <c:v>50</c:v>
                </c:pt>
                <c:pt idx="5">
                  <c:v>53</c:v>
                </c:pt>
                <c:pt idx="6">
                  <c:v>49</c:v>
                </c:pt>
                <c:pt idx="7">
                  <c:v>46</c:v>
                </c:pt>
                <c:pt idx="8">
                  <c:v>55</c:v>
                </c:pt>
                <c:pt idx="9">
                  <c:v>58</c:v>
                </c:pt>
                <c:pt idx="10">
                  <c:v>62</c:v>
                </c:pt>
                <c:pt idx="11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3D-4DF6-88E2-572633BD8CA3}"/>
            </c:ext>
          </c:extLst>
        </c:ser>
        <c:ser>
          <c:idx val="1"/>
          <c:order val="1"/>
          <c:tx>
            <c:strRef>
              <c:f>'Monthly trend'!$C$1</c:f>
              <c:strCache>
                <c:ptCount val="1"/>
                <c:pt idx="0">
                  <c:v>Software</c:v>
                </c:pt>
              </c:strCache>
            </c:strRef>
          </c:tx>
          <c:invertIfNegative val="0"/>
          <c:cat>
            <c:strRef>
              <c:f>'Monthly trend'!$A$2:$A$13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trend'!$C$2:$C$13</c:f>
              <c:numCache>
                <c:formatCode>#\ ##0\ "k"</c:formatCode>
                <c:ptCount val="12"/>
                <c:pt idx="0">
                  <c:v>30</c:v>
                </c:pt>
                <c:pt idx="1">
                  <c:v>32</c:v>
                </c:pt>
                <c:pt idx="2">
                  <c:v>35</c:v>
                </c:pt>
                <c:pt idx="3">
                  <c:v>39</c:v>
                </c:pt>
                <c:pt idx="4">
                  <c:v>41</c:v>
                </c:pt>
                <c:pt idx="5">
                  <c:v>44</c:v>
                </c:pt>
                <c:pt idx="6">
                  <c:v>46</c:v>
                </c:pt>
                <c:pt idx="7">
                  <c:v>49</c:v>
                </c:pt>
                <c:pt idx="8">
                  <c:v>52</c:v>
                </c:pt>
                <c:pt idx="9">
                  <c:v>55</c:v>
                </c:pt>
                <c:pt idx="10">
                  <c:v>59</c:v>
                </c:pt>
                <c:pt idx="11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3D-4DF6-88E2-572633BD8CA3}"/>
            </c:ext>
          </c:extLst>
        </c:ser>
        <c:ser>
          <c:idx val="2"/>
          <c:order val="2"/>
          <c:tx>
            <c:strRef>
              <c:f>'Monthly trend'!$D$1</c:f>
              <c:strCache>
                <c:ptCount val="1"/>
                <c:pt idx="0">
                  <c:v>Services</c:v>
                </c:pt>
              </c:strCache>
            </c:strRef>
          </c:tx>
          <c:invertIfNegative val="0"/>
          <c:cat>
            <c:strRef>
              <c:f>'Monthly trend'!$A$2:$A$13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trend'!$D$2:$D$13</c:f>
              <c:numCache>
                <c:formatCode>#\ ##0\ "k"</c:formatCode>
                <c:ptCount val="12"/>
                <c:pt idx="0">
                  <c:v>18</c:v>
                </c:pt>
                <c:pt idx="1">
                  <c:v>18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22</c:v>
                </c:pt>
                <c:pt idx="6">
                  <c:v>23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3D-4DF6-88E2-572633BD8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549103"/>
        <c:axId val="22548815"/>
      </c:barChart>
      <c:catAx>
        <c:axId val="33549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548815"/>
        <c:crosses val="autoZero"/>
        <c:auto val="1"/>
        <c:lblAlgn val="ctr"/>
        <c:lblOffset val="100"/>
        <c:noMultiLvlLbl val="0"/>
      </c:catAx>
      <c:valAx>
        <c:axId val="22548815"/>
        <c:scaling>
          <c:orientation val="minMax"/>
        </c:scaling>
        <c:delete val="0"/>
        <c:axPos val="l"/>
        <c:majorGridlines/>
        <c:numFmt formatCode="#\ ##0\ &quot;k&quot;" sourceLinked="1"/>
        <c:majorTickMark val="out"/>
        <c:minorTickMark val="none"/>
        <c:tickLblPos val="nextTo"/>
        <c:crossAx val="3354910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PT"/>
              <a:t>Ad spend vs. leads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Targets!$B$1</c:f>
              <c:strCache>
                <c:ptCount val="1"/>
                <c:pt idx="0">
                  <c:v>Leads</c:v>
                </c:pt>
              </c:strCache>
            </c:strRef>
          </c:tx>
          <c:spPr>
            <a:ln w="38100">
              <a:noFill/>
            </a:ln>
          </c:spPr>
          <c:xVal>
            <c:numRef>
              <c:f>Targets!$A$2:$A$11</c:f>
              <c:numCache>
                <c:formatCode>General</c:formatCode>
                <c:ptCount val="10"/>
                <c:pt idx="0">
                  <c:v>2</c:v>
                </c:pt>
                <c:pt idx="1">
                  <c:v>3.5</c:v>
                </c:pt>
                <c:pt idx="2">
                  <c:v>4</c:v>
                </c:pt>
                <c:pt idx="3">
                  <c:v>5.2</c:v>
                </c:pt>
                <c:pt idx="4">
                  <c:v>6</c:v>
                </c:pt>
                <c:pt idx="5">
                  <c:v>7.5</c:v>
                </c:pt>
                <c:pt idx="6">
                  <c:v>8</c:v>
                </c:pt>
                <c:pt idx="7">
                  <c:v>9.1</c:v>
                </c:pt>
                <c:pt idx="8">
                  <c:v>10</c:v>
                </c:pt>
                <c:pt idx="9">
                  <c:v>12</c:v>
                </c:pt>
              </c:numCache>
            </c:numRef>
          </c:xVal>
          <c:yVal>
            <c:numRef>
              <c:f>Targets!$B$2:$B$11</c:f>
              <c:numCache>
                <c:formatCode>General</c:formatCode>
                <c:ptCount val="10"/>
                <c:pt idx="0">
                  <c:v>41</c:v>
                </c:pt>
                <c:pt idx="1">
                  <c:v>60</c:v>
                </c:pt>
                <c:pt idx="2">
                  <c:v>66</c:v>
                </c:pt>
                <c:pt idx="3">
                  <c:v>80</c:v>
                </c:pt>
                <c:pt idx="4">
                  <c:v>95</c:v>
                </c:pt>
                <c:pt idx="5">
                  <c:v>110</c:v>
                </c:pt>
                <c:pt idx="6">
                  <c:v>118</c:v>
                </c:pt>
                <c:pt idx="7">
                  <c:v>131</c:v>
                </c:pt>
                <c:pt idx="8">
                  <c:v>140</c:v>
                </c:pt>
                <c:pt idx="9">
                  <c:v>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D7-486D-8C13-95ADA188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06383"/>
        <c:axId val="22572815"/>
      </c:scatterChart>
      <c:valAx>
        <c:axId val="136306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572815"/>
        <c:crosses val="autoZero"/>
        <c:crossBetween val="midCat"/>
      </c:valAx>
      <c:valAx>
        <c:axId val="2257281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630638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PT"/>
              <a:t>Target progress per team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Targets!$E$1</c:f>
              <c:strCache>
                <c:ptCount val="1"/>
                <c:pt idx="0">
                  <c:v>Achieved</c:v>
                </c:pt>
              </c:strCache>
            </c:strRef>
          </c:tx>
          <c:invertIfNegative val="0"/>
          <c:cat>
            <c:strRef>
              <c:f>Targets!$D$2:$D$5</c:f>
              <c:strCache>
                <c:ptCount val="4"/>
                <c:pt idx="0">
                  <c:v>Alpha</c:v>
                </c:pt>
                <c:pt idx="1">
                  <c:v>Bravo</c:v>
                </c:pt>
                <c:pt idx="2">
                  <c:v>Charlie</c:v>
                </c:pt>
                <c:pt idx="3">
                  <c:v>Delta</c:v>
                </c:pt>
              </c:strCache>
            </c:strRef>
          </c:cat>
          <c:val>
            <c:numRef>
              <c:f>Targets!$E$2:$E$5</c:f>
              <c:numCache>
                <c:formatCode>General</c:formatCode>
                <c:ptCount val="4"/>
                <c:pt idx="0">
                  <c:v>72</c:v>
                </c:pt>
                <c:pt idx="1">
                  <c:v>55</c:v>
                </c:pt>
                <c:pt idx="2">
                  <c:v>90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E8-4FAE-BD56-40B02B9749EE}"/>
            </c:ext>
          </c:extLst>
        </c:ser>
        <c:ser>
          <c:idx val="1"/>
          <c:order val="1"/>
          <c:tx>
            <c:strRef>
              <c:f>Targets!$F$1</c:f>
              <c:strCache>
                <c:ptCount val="1"/>
                <c:pt idx="0">
                  <c:v>Remaining</c:v>
                </c:pt>
              </c:strCache>
            </c:strRef>
          </c:tx>
          <c:invertIfNegative val="0"/>
          <c:cat>
            <c:strRef>
              <c:f>Targets!$D$2:$D$5</c:f>
              <c:strCache>
                <c:ptCount val="4"/>
                <c:pt idx="0">
                  <c:v>Alpha</c:v>
                </c:pt>
                <c:pt idx="1">
                  <c:v>Bravo</c:v>
                </c:pt>
                <c:pt idx="2">
                  <c:v>Charlie</c:v>
                </c:pt>
                <c:pt idx="3">
                  <c:v>Delta</c:v>
                </c:pt>
              </c:strCache>
            </c:strRef>
          </c:cat>
          <c:val>
            <c:numRef>
              <c:f>Targets!$F$2:$F$5</c:f>
              <c:numCache>
                <c:formatCode>General</c:formatCode>
                <c:ptCount val="4"/>
                <c:pt idx="0">
                  <c:v>28</c:v>
                </c:pt>
                <c:pt idx="1">
                  <c:v>45</c:v>
                </c:pt>
                <c:pt idx="2">
                  <c:v>10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E8-4FAE-BD56-40B02B974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302671"/>
        <c:axId val="22574735"/>
      </c:barChart>
      <c:catAx>
        <c:axId val="1363026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2574735"/>
        <c:crosses val="autoZero"/>
        <c:auto val="1"/>
        <c:lblAlgn val="ctr"/>
        <c:lblOffset val="100"/>
        <c:noMultiLvlLbl val="0"/>
      </c:catAx>
      <c:valAx>
        <c:axId val="22574735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3630267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PT"/>
              <a:t>Achieved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Targets!$E$1</c:f>
              <c:strCache>
                <c:ptCount val="1"/>
                <c:pt idx="0">
                  <c:v>Achieved</c:v>
                </c:pt>
              </c:strCache>
            </c:strRef>
          </c:tx>
          <c:cat>
            <c:strRef>
              <c:f>Targets!$D$2:$D$5</c:f>
              <c:strCache>
                <c:ptCount val="4"/>
                <c:pt idx="0">
                  <c:v>Alpha</c:v>
                </c:pt>
                <c:pt idx="1">
                  <c:v>Bravo</c:v>
                </c:pt>
                <c:pt idx="2">
                  <c:v>Charlie</c:v>
                </c:pt>
                <c:pt idx="3">
                  <c:v>Delta</c:v>
                </c:pt>
              </c:strCache>
            </c:strRef>
          </c:cat>
          <c:val>
            <c:numRef>
              <c:f>Targets!$E$2:$E$5</c:f>
              <c:numCache>
                <c:formatCode>General</c:formatCode>
                <c:ptCount val="4"/>
                <c:pt idx="0">
                  <c:v>72</c:v>
                </c:pt>
                <c:pt idx="1">
                  <c:v>55</c:v>
                </c:pt>
                <c:pt idx="2">
                  <c:v>90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28-40E4-B25E-3160DA2A7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5</xdr:col>
      <xdr:colOff>815340</xdr:colOff>
      <xdr:row>27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F2BCC2-7E31-9641-45F1-738FF30FA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66040</xdr:colOff>
      <xdr:row>11</xdr:row>
      <xdr:rowOff>0</xdr:rowOff>
    </xdr:from>
    <xdr:to>
      <xdr:col>12</xdr:col>
      <xdr:colOff>157480</xdr:colOff>
      <xdr:row>27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0568E0-0342-E283-5789-61E2F6B73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127000</xdr:rowOff>
    </xdr:from>
    <xdr:to>
      <xdr:col>14</xdr:col>
      <xdr:colOff>177800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5A0428-2035-B173-1CBA-38FDFF5D5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76200</xdr:colOff>
      <xdr:row>17</xdr:row>
      <xdr:rowOff>66040</xdr:rowOff>
    </xdr:from>
    <xdr:to>
      <xdr:col>14</xdr:col>
      <xdr:colOff>177800</xdr:colOff>
      <xdr:row>33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EED524-1DE1-0CEB-006A-59C82E3AD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162560</xdr:rowOff>
    </xdr:from>
    <xdr:to>
      <xdr:col>5</xdr:col>
      <xdr:colOff>101600</xdr:colOff>
      <xdr:row>29</xdr:row>
      <xdr:rowOff>157480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B2B977-4322-D3F0-7E1D-1A7489274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228600</xdr:colOff>
      <xdr:row>13</xdr:row>
      <xdr:rowOff>162560</xdr:rowOff>
    </xdr:from>
    <xdr:to>
      <xdr:col>12</xdr:col>
      <xdr:colOff>452120</xdr:colOff>
      <xdr:row>29</xdr:row>
      <xdr:rowOff>157480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081DD3-2A94-3C75-DC75-B6AF6480D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579120</xdr:colOff>
      <xdr:row>13</xdr:row>
      <xdr:rowOff>162560</xdr:rowOff>
    </xdr:from>
    <xdr:to>
      <xdr:col>18</xdr:col>
      <xdr:colOff>223520</xdr:colOff>
      <xdr:row>29</xdr:row>
      <xdr:rowOff>157480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892CE4-3786-2240-20FC-885B9ED13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0144F-D181-4D9B-9285-A40285007193}">
  <dimension ref="A1:G10"/>
  <sheetViews>
    <sheetView tabSelected="1" workbookViewId="0">
      <pane ySplit="4" topLeftCell="A5" activePane="bottomLeft" state="frozenSplit"/>
      <selection pane="bottomLeft" sqref="A1:G1"/>
    </sheetView>
  </sheetViews>
  <sheetFormatPr defaultRowHeight="14.4" x14ac:dyDescent="0.3"/>
  <cols>
    <col min="1" max="1" width="14.77734375" customWidth="1"/>
    <col min="2" max="6" width="12.77734375" customWidth="1"/>
    <col min="7" max="7" width="9.77734375" customWidth="1"/>
  </cols>
  <sheetData>
    <row r="1" spans="1:7" ht="30" customHeight="1" x14ac:dyDescent="0.4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</row>
    <row r="4" spans="1:7" ht="15" thickBot="1" x14ac:dyDescent="0.35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7" t="s">
        <v>8</v>
      </c>
    </row>
    <row r="5" spans="1:7" x14ac:dyDescent="0.3">
      <c r="A5" s="8" t="s">
        <v>9</v>
      </c>
      <c r="B5" s="9">
        <v>12500</v>
      </c>
      <c r="C5" s="9">
        <v>14200</v>
      </c>
      <c r="D5" s="9">
        <v>13900</v>
      </c>
      <c r="E5" s="9">
        <v>16800</v>
      </c>
      <c r="F5" s="9">
        <f>SUM(B5:E5)</f>
        <v>57400</v>
      </c>
      <c r="G5" s="10">
        <f>F5/$F$10</f>
        <v>0.21804368471035138</v>
      </c>
    </row>
    <row r="6" spans="1:7" x14ac:dyDescent="0.3">
      <c r="A6" s="14" t="s">
        <v>10</v>
      </c>
      <c r="B6" s="15">
        <v>9800</v>
      </c>
      <c r="C6" s="15">
        <v>10400</v>
      </c>
      <c r="D6" s="15">
        <v>12100</v>
      </c>
      <c r="E6" s="15">
        <v>11950</v>
      </c>
      <c r="F6" s="15">
        <f>SUM(B6:E6)</f>
        <v>44250</v>
      </c>
      <c r="G6" s="16">
        <f>F6/$F$10</f>
        <v>0.16809116809116809</v>
      </c>
    </row>
    <row r="7" spans="1:7" x14ac:dyDescent="0.3">
      <c r="A7" s="8" t="s">
        <v>11</v>
      </c>
      <c r="B7" s="9">
        <v>15300</v>
      </c>
      <c r="C7" s="9">
        <v>14800</v>
      </c>
      <c r="D7" s="9">
        <v>16250</v>
      </c>
      <c r="E7" s="17">
        <v>18900</v>
      </c>
      <c r="F7" s="9">
        <f>SUM(B7:E7)</f>
        <v>65250</v>
      </c>
      <c r="G7" s="10">
        <f>F7/$F$10</f>
        <v>0.24786324786324787</v>
      </c>
    </row>
    <row r="8" spans="1:7" x14ac:dyDescent="0.3">
      <c r="A8" s="14" t="s">
        <v>12</v>
      </c>
      <c r="B8" s="15">
        <v>7400</v>
      </c>
      <c r="C8" s="15">
        <v>8900</v>
      </c>
      <c r="D8" s="15">
        <v>9300</v>
      </c>
      <c r="E8" s="15">
        <v>10750</v>
      </c>
      <c r="F8" s="15">
        <f>SUM(B8:E8)</f>
        <v>36350</v>
      </c>
      <c r="G8" s="16">
        <f>F8/$F$10</f>
        <v>0.13808167141500474</v>
      </c>
    </row>
    <row r="9" spans="1:7" ht="15" thickBot="1" x14ac:dyDescent="0.35">
      <c r="A9" s="8" t="s">
        <v>13</v>
      </c>
      <c r="B9" s="9">
        <v>11200</v>
      </c>
      <c r="C9" s="9">
        <v>13600</v>
      </c>
      <c r="D9" s="9">
        <v>15800</v>
      </c>
      <c r="E9" s="9">
        <v>19400</v>
      </c>
      <c r="F9" s="9">
        <f>SUM(B9:E9)</f>
        <v>60000</v>
      </c>
      <c r="G9" s="10">
        <f>F9/$F$10</f>
        <v>0.22792022792022792</v>
      </c>
    </row>
    <row r="10" spans="1:7" ht="15" thickTop="1" x14ac:dyDescent="0.3">
      <c r="A10" s="11" t="s">
        <v>7</v>
      </c>
      <c r="B10" s="12">
        <f>SUM(B5:B9)</f>
        <v>56200</v>
      </c>
      <c r="C10" s="12">
        <f>SUM(C5:C9)</f>
        <v>61900</v>
      </c>
      <c r="D10" s="12">
        <f>SUM(D5:D9)</f>
        <v>67350</v>
      </c>
      <c r="E10" s="12">
        <f>SUM(E5:E9)</f>
        <v>77800</v>
      </c>
      <c r="F10" s="12">
        <f>SUM(F5:F9)</f>
        <v>263250</v>
      </c>
      <c r="G10" s="13">
        <f>SUM(G5:G9)</f>
        <v>1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3C74-763D-4F46-8A08-9782A869D262}">
  <dimension ref="A1:D13"/>
  <sheetViews>
    <sheetView workbookViewId="0"/>
  </sheetViews>
  <sheetFormatPr defaultRowHeight="14.4" x14ac:dyDescent="0.3"/>
  <cols>
    <col min="1" max="4" width="12.77734375" customWidth="1"/>
  </cols>
  <sheetData>
    <row r="1" spans="1:4" x14ac:dyDescent="0.3">
      <c r="A1" s="18" t="s">
        <v>14</v>
      </c>
      <c r="B1" s="18" t="s">
        <v>15</v>
      </c>
      <c r="C1" s="18" t="s">
        <v>16</v>
      </c>
      <c r="D1" s="18" t="s">
        <v>17</v>
      </c>
    </row>
    <row r="2" spans="1:4" x14ac:dyDescent="0.3">
      <c r="A2" s="19" t="s">
        <v>18</v>
      </c>
      <c r="B2" s="20">
        <v>42</v>
      </c>
      <c r="C2" s="20">
        <v>30</v>
      </c>
      <c r="D2" s="20">
        <v>18</v>
      </c>
    </row>
    <row r="3" spans="1:4" x14ac:dyDescent="0.3">
      <c r="A3" s="19" t="s">
        <v>19</v>
      </c>
      <c r="B3" s="20">
        <v>45</v>
      </c>
      <c r="C3" s="20">
        <v>32</v>
      </c>
      <c r="D3" s="20">
        <v>18</v>
      </c>
    </row>
    <row r="4" spans="1:4" x14ac:dyDescent="0.3">
      <c r="A4" s="19" t="s">
        <v>20</v>
      </c>
      <c r="B4" s="20">
        <v>47</v>
      </c>
      <c r="C4" s="20">
        <v>35</v>
      </c>
      <c r="D4" s="20">
        <v>20</v>
      </c>
    </row>
    <row r="5" spans="1:4" x14ac:dyDescent="0.3">
      <c r="A5" s="19" t="s">
        <v>21</v>
      </c>
      <c r="B5" s="20">
        <v>44</v>
      </c>
      <c r="C5" s="20">
        <v>39</v>
      </c>
      <c r="D5" s="20">
        <v>21</v>
      </c>
    </row>
    <row r="6" spans="1:4" x14ac:dyDescent="0.3">
      <c r="A6" s="19" t="s">
        <v>22</v>
      </c>
      <c r="B6" s="20">
        <v>50</v>
      </c>
      <c r="C6" s="20">
        <v>41</v>
      </c>
      <c r="D6" s="20">
        <v>22</v>
      </c>
    </row>
    <row r="7" spans="1:4" x14ac:dyDescent="0.3">
      <c r="A7" s="19" t="s">
        <v>23</v>
      </c>
      <c r="B7" s="20">
        <v>53</v>
      </c>
      <c r="C7" s="20">
        <v>44</v>
      </c>
      <c r="D7" s="20">
        <v>22</v>
      </c>
    </row>
    <row r="8" spans="1:4" x14ac:dyDescent="0.3">
      <c r="A8" s="19" t="s">
        <v>24</v>
      </c>
      <c r="B8" s="20">
        <v>49</v>
      </c>
      <c r="C8" s="20">
        <v>46</v>
      </c>
      <c r="D8" s="20">
        <v>23</v>
      </c>
    </row>
    <row r="9" spans="1:4" x14ac:dyDescent="0.3">
      <c r="A9" s="19" t="s">
        <v>25</v>
      </c>
      <c r="B9" s="20">
        <v>46</v>
      </c>
      <c r="C9" s="20">
        <v>49</v>
      </c>
      <c r="D9" s="20">
        <v>25</v>
      </c>
    </row>
    <row r="10" spans="1:4" x14ac:dyDescent="0.3">
      <c r="A10" s="19" t="s">
        <v>26</v>
      </c>
      <c r="B10" s="20">
        <v>55</v>
      </c>
      <c r="C10" s="20">
        <v>52</v>
      </c>
      <c r="D10" s="20">
        <v>26</v>
      </c>
    </row>
    <row r="11" spans="1:4" x14ac:dyDescent="0.3">
      <c r="A11" s="19" t="s">
        <v>27</v>
      </c>
      <c r="B11" s="20">
        <v>58</v>
      </c>
      <c r="C11" s="20">
        <v>55</v>
      </c>
      <c r="D11" s="20">
        <v>27</v>
      </c>
    </row>
    <row r="12" spans="1:4" x14ac:dyDescent="0.3">
      <c r="A12" s="19" t="s">
        <v>28</v>
      </c>
      <c r="B12" s="20">
        <v>62</v>
      </c>
      <c r="C12" s="20">
        <v>59</v>
      </c>
      <c r="D12" s="20">
        <v>28</v>
      </c>
    </row>
    <row r="13" spans="1:4" x14ac:dyDescent="0.3">
      <c r="A13" s="19" t="s">
        <v>29</v>
      </c>
      <c r="B13" s="20">
        <v>70</v>
      </c>
      <c r="C13" s="20">
        <v>63</v>
      </c>
      <c r="D13" s="20">
        <v>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DB1C0-7552-4442-955A-21EA2DBC0F8E}">
  <dimension ref="A1:F11"/>
  <sheetViews>
    <sheetView workbookViewId="0"/>
  </sheetViews>
  <sheetFormatPr defaultRowHeight="14.4" x14ac:dyDescent="0.3"/>
  <cols>
    <col min="1" max="6" width="13.77734375" customWidth="1"/>
  </cols>
  <sheetData>
    <row r="1" spans="1:6" x14ac:dyDescent="0.3">
      <c r="A1" s="4" t="s">
        <v>30</v>
      </c>
      <c r="B1" s="4" t="s">
        <v>31</v>
      </c>
      <c r="D1" s="4" t="s">
        <v>32</v>
      </c>
      <c r="E1" s="4" t="s">
        <v>33</v>
      </c>
      <c r="F1" s="4" t="s">
        <v>34</v>
      </c>
    </row>
    <row r="2" spans="1:6" x14ac:dyDescent="0.3">
      <c r="A2">
        <v>2</v>
      </c>
      <c r="B2">
        <v>41</v>
      </c>
      <c r="D2" t="s">
        <v>35</v>
      </c>
      <c r="E2">
        <v>72</v>
      </c>
      <c r="F2">
        <v>28</v>
      </c>
    </row>
    <row r="3" spans="1:6" x14ac:dyDescent="0.3">
      <c r="A3">
        <v>3.5</v>
      </c>
      <c r="B3">
        <v>60</v>
      </c>
      <c r="D3" t="s">
        <v>36</v>
      </c>
      <c r="E3">
        <v>55</v>
      </c>
      <c r="F3">
        <v>45</v>
      </c>
    </row>
    <row r="4" spans="1:6" x14ac:dyDescent="0.3">
      <c r="A4">
        <v>4</v>
      </c>
      <c r="B4">
        <v>66</v>
      </c>
      <c r="D4" t="s">
        <v>37</v>
      </c>
      <c r="E4">
        <v>90</v>
      </c>
      <c r="F4">
        <v>10</v>
      </c>
    </row>
    <row r="5" spans="1:6" x14ac:dyDescent="0.3">
      <c r="A5">
        <v>5.2</v>
      </c>
      <c r="B5">
        <v>80</v>
      </c>
      <c r="D5" t="s">
        <v>38</v>
      </c>
      <c r="E5">
        <v>38</v>
      </c>
      <c r="F5">
        <v>62</v>
      </c>
    </row>
    <row r="6" spans="1:6" x14ac:dyDescent="0.3">
      <c r="A6">
        <v>6</v>
      </c>
      <c r="B6">
        <v>95</v>
      </c>
    </row>
    <row r="7" spans="1:6" x14ac:dyDescent="0.3">
      <c r="A7">
        <v>7.5</v>
      </c>
      <c r="B7">
        <v>110</v>
      </c>
    </row>
    <row r="8" spans="1:6" x14ac:dyDescent="0.3">
      <c r="A8">
        <v>8</v>
      </c>
      <c r="B8">
        <v>118</v>
      </c>
    </row>
    <row r="9" spans="1:6" x14ac:dyDescent="0.3">
      <c r="A9">
        <v>9.1</v>
      </c>
      <c r="B9">
        <v>131</v>
      </c>
    </row>
    <row r="10" spans="1:6" x14ac:dyDescent="0.3">
      <c r="A10">
        <v>10</v>
      </c>
      <c r="B10">
        <v>140</v>
      </c>
    </row>
    <row r="11" spans="1:6" x14ac:dyDescent="0.3">
      <c r="A11">
        <v>12</v>
      </c>
      <c r="B11">
        <v>166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Monthly trend</vt:lpstr>
      <vt:lpstr>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 Lopes</dc:creator>
  <cp:lastModifiedBy>João  Lopes</cp:lastModifiedBy>
  <dcterms:created xsi:type="dcterms:W3CDTF">2026-10-28T12:29:54Z</dcterms:created>
  <dcterms:modified xsi:type="dcterms:W3CDTF">2026-10-28T12:29:56Z</dcterms:modified>
</cp:coreProperties>
</file>